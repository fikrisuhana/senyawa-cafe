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enu" sheetId="2" state="visible" r:id="rId2"/>
    <sheet xmlns:r="http://schemas.openxmlformats.org/officeDocument/2006/relationships" name="Bahan" sheetId="3" state="visible" r:id="rId3"/>
    <sheet xmlns:r="http://schemas.openxmlformats.org/officeDocument/2006/relationships" name="Restok_Log" sheetId="4" state="visible" r:id="rId4"/>
    <sheet xmlns:r="http://schemas.openxmlformats.org/officeDocument/2006/relationships" name="Voucher" sheetId="5" state="visible" r:id="rId5"/>
    <sheet xmlns:r="http://schemas.openxmlformats.org/officeDocument/2006/relationships" name="Transaksi" sheetId="6" state="visible" r:id="rId6"/>
    <sheet xmlns:r="http://schemas.openxmlformats.org/officeDocument/2006/relationships" name="Absensi" sheetId="7" state="visible" r:id="rId7"/>
    <sheet xmlns:r="http://schemas.openxmlformats.org/officeDocument/2006/relationships" name="K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p#,##0"/>
    <numFmt numFmtId="165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3B2A20"/>
      <sz val="16"/>
    </font>
    <font>
      <name val="Arial"/>
      <b val="1"/>
      <sz val="11"/>
    </font>
    <font>
      <name val="Arial"/>
      <i val="1"/>
      <color rgb="008A6D3B"/>
      <sz val="9"/>
    </font>
    <font>
      <name val="Arial"/>
      <i val="1"/>
      <color rgb="00666666"/>
      <sz val="9"/>
    </font>
    <font>
      <name val="Arial"/>
      <b val="1"/>
      <color rgb="00356A58"/>
    </font>
    <font>
      <name val="Arial"/>
      <color rgb="00777777"/>
      <sz val="9"/>
    </font>
  </fonts>
  <fills count="5">
    <fill>
      <patternFill/>
    </fill>
    <fill>
      <patternFill patternType="gray125"/>
    </fill>
    <fill>
      <patternFill patternType="solid">
        <fgColor rgb="007A5540"/>
      </patternFill>
    </fill>
    <fill>
      <patternFill patternType="solid">
        <fgColor rgb="00FFF6C7"/>
      </patternFill>
    </fill>
    <fill>
      <patternFill patternType="solid">
        <fgColor rgb="00EDE4DC"/>
      </patternFill>
    </fill>
  </fills>
  <borders count="2">
    <border>
      <left/>
      <right/>
      <top/>
      <bottom/>
      <diagonal/>
    </border>
    <border>
      <left style="thin">
        <color rgb="00D9CFC5"/>
      </left>
      <right style="thin">
        <color rgb="00D9CFC5"/>
      </right>
      <top style="thin">
        <color rgb="00D9CFC5"/>
      </top>
      <bottom style="thin">
        <color rgb="00D9CF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7" fillId="0" borderId="1" pivotButton="0" quotePrefix="0" xfId="0"/>
    <xf numFmtId="0" fontId="8" fillId="0" borderId="1" pivotButton="0" quotePrefix="0" xfId="0"/>
    <xf numFmtId="0" fontId="4" fillId="4" borderId="1" pivotButton="0" quotePrefix="0" xfId="0"/>
    <xf numFmtId="0" fontId="7" fillId="4" borderId="1" pivotButton="0" quotePrefix="0" xfId="0"/>
    <xf numFmtId="0" fontId="8" fillId="4" borderId="1" pivotButton="0" quotePrefix="0" xfId="0"/>
    <xf numFmtId="0" fontId="2" fillId="0" borderId="1" pivotButton="0" quotePrefix="0" xfId="0"/>
    <xf numFmtId="0" fontId="2" fillId="4" borderId="1" pivotButton="0" quotePrefix="0" xfId="0"/>
    <xf numFmtId="164" fontId="7" fillId="4" borderId="1" pivotButton="0" quotePrefix="0" xfId="0"/>
    <xf numFmtId="0" fontId="7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4" customWidth="1" min="3" max="3"/>
  </cols>
  <sheetData>
    <row r="1">
      <c r="A1" s="1" t="inlineStr">
        <is>
          <t>📊 RUANG SENYAWA — DASHBOARD POS</t>
        </is>
      </c>
    </row>
    <row r="2">
      <c r="A2" s="2" t="inlineStr">
        <is>
          <t>Tanggal laporan:</t>
        </is>
      </c>
      <c r="B2" s="3" t="n">
        <v>46234</v>
      </c>
      <c r="C2" s="4" t="inlineStr">
        <is>
          <t>◄ ubah tanggal buat simulasi (di app: otomatis TODAY())</t>
        </is>
      </c>
    </row>
    <row r="3">
      <c r="A3" s="5" t="inlineStr">
        <is>
          <t>Semua nilai = rumus LIVE dari tab Transaksi / Kas / Absensi. Jangan diedit manual.</t>
        </is>
      </c>
    </row>
    <row r="4">
      <c r="A4" s="6" t="inlineStr">
        <is>
          <t>INDIKATOR</t>
        </is>
      </c>
      <c r="B4" s="6" t="inlineStr">
        <is>
          <t>NILAI</t>
        </is>
      </c>
      <c r="C4" s="6" t="inlineStr">
        <is>
          <t>KETERANGAN</t>
        </is>
      </c>
    </row>
    <row r="5">
      <c r="A5" s="7" t="inlineStr">
        <is>
          <t>Omzet hari ini</t>
        </is>
      </c>
      <c r="B5" s="8">
        <f>SUMIFS(Transaksi!J:J,Transaksi!B:B,TEXT($B$2,"yyyy-mm-dd"),Transaksi!K:K,"ACTIVE")</f>
        <v/>
      </c>
      <c r="C5" s="9" t="inlineStr">
        <is>
          <t>Penjualan ACTIVE</t>
        </is>
      </c>
    </row>
    <row r="6">
      <c r="A6" s="10" t="inlineStr">
        <is>
          <t>Jumlah transaksi hari ini</t>
        </is>
      </c>
      <c r="B6" s="11">
        <f>COUNTIFS(Transaksi!B:B,TEXT($B$2,"yyyy-mm-dd"),Transaksi!K:K,"ACTIVE")</f>
        <v/>
      </c>
      <c r="C6" s="12" t="inlineStr"/>
    </row>
    <row r="7">
      <c r="A7" s="13" t="inlineStr">
        <is>
          <t xml:space="preserve">   — Tunai (CASH)</t>
        </is>
      </c>
      <c r="B7" s="8">
        <f>SUMIFS(Transaksi!J:J,Transaksi!B:B,TEXT($B$2,"yyyy-mm-dd"),Transaksi!F:F,"CASH",Transaksi!K:K,"ACTIVE")</f>
        <v/>
      </c>
      <c r="C7" s="9" t="inlineStr"/>
    </row>
    <row r="8">
      <c r="A8" s="14" t="inlineStr">
        <is>
          <t xml:space="preserve">   — QRIS</t>
        </is>
      </c>
      <c r="B8" s="15">
        <f>SUMIFS(Transaksi!J:J,Transaksi!B:B,TEXT($B$2,"yyyy-mm-dd"),Transaksi!F:F,"QRIS",Transaksi!K:K,"ACTIVE")</f>
        <v/>
      </c>
      <c r="C8" s="12" t="inlineStr"/>
    </row>
    <row r="9">
      <c r="A9" s="13" t="inlineStr">
        <is>
          <t xml:space="preserve">   — Transfer</t>
        </is>
      </c>
      <c r="B9" s="8">
        <f>SUMIFS(Transaksi!J:J,Transaksi!B:B,TEXT($B$2,"yyyy-mm-dd"),Transaksi!F:F,"TRANSFER",Transaksi!K:K,"ACTIVE")</f>
        <v/>
      </c>
      <c r="C9" s="9" t="inlineStr"/>
    </row>
    <row r="10">
      <c r="A10" s="10" t="inlineStr">
        <is>
          <t>Kas masuk hari ini</t>
        </is>
      </c>
      <c r="B10" s="15">
        <f>SUMIFS(Kas!C:C,Kas!A:A,TEXT($B$2,"yyyy-mm-dd"),Kas!B:B,"MASUK")</f>
        <v/>
      </c>
      <c r="C10" s="12" t="inlineStr">
        <is>
          <t>dari tab Kas</t>
        </is>
      </c>
    </row>
    <row r="11">
      <c r="A11" s="7" t="inlineStr">
        <is>
          <t>Pengeluaran hari ini</t>
        </is>
      </c>
      <c r="B11" s="8">
        <f>SUMIFS(Kas!C:C,Kas!A:A,TEXT($B$2,"yyyy-mm-dd"),Kas!B:B,"KELUAR")</f>
        <v/>
      </c>
      <c r="C11" s="9" t="inlineStr"/>
    </row>
    <row r="12">
      <c r="A12" s="10" t="inlineStr">
        <is>
          <t>Uang di laci (estimasi)</t>
        </is>
      </c>
      <c r="B12" s="15">
        <f>SUMIFS(Transaksi!J:J,Transaksi!B:B,TEXT($B$2,"yyyy-mm-dd"),Transaksi!F:F,"CASH",Transaksi!K:K,"ACTIVE")+SUMIFS(Kas!C:C,Kas!A:A,TEXT($B$2,"yyyy-mm-dd"),Kas!B:B,"MASUK")-SUMIFS(Kas!C:C,Kas!A:A,TEXT($B$2,"yyyy-mm-dd"),Kas!B:B,"KELUAR")</f>
        <v/>
      </c>
      <c r="C12" s="12" t="inlineStr">
        <is>
          <t>Tunai + kas masuk − keluar</t>
        </is>
      </c>
    </row>
    <row r="14">
      <c r="A14" s="10" t="inlineStr">
        <is>
          <t>Omzet bulan ini</t>
        </is>
      </c>
      <c r="B14" s="15">
        <f>SUMIFS(Transaksi!J:J,Transaksi!B:B,TEXT($B$2,"yyyy-mm")&amp;"*",Transaksi!K:K,"ACTIVE")</f>
        <v/>
      </c>
      <c r="C14" s="12" t="inlineStr">
        <is>
          <t>Bulan berjalan</t>
        </is>
      </c>
    </row>
    <row r="15">
      <c r="A15" s="7" t="inlineStr">
        <is>
          <t>Transaksi bulan ini</t>
        </is>
      </c>
      <c r="B15" s="16">
        <f>COUNTIFS(Transaksi!B:B,TEXT($B$2,"yyyy-mm")&amp;"*",Transaksi!K:K,"ACTIVE")</f>
        <v/>
      </c>
      <c r="C15" s="9" t="inlineStr"/>
    </row>
    <row r="17">
      <c r="A17" s="7" t="inlineStr">
        <is>
          <t>Total omzet (semua waktu)</t>
        </is>
      </c>
      <c r="B17" s="8">
        <f>SUMIF(Transaksi!K:K,"ACTIVE",Transaksi!J:J)</f>
        <v/>
      </c>
      <c r="C17" s="9" t="inlineStr"/>
    </row>
    <row r="18">
      <c r="A18" s="10" t="inlineStr">
        <is>
          <t>Total transaksi tercatat</t>
        </is>
      </c>
      <c r="B18" s="11">
        <f>COUNTA(Transaksi!A2:A1000)</f>
        <v/>
      </c>
      <c r="C18" s="12" t="inlineStr"/>
    </row>
    <row r="19">
      <c r="A19" s="7" t="inlineStr">
        <is>
          <t>Transaksi dibatalkan (VOID)</t>
        </is>
      </c>
      <c r="B19" s="16">
        <f>COUNTIF(Transaksi!K:K,"VOID")</f>
        <v/>
      </c>
      <c r="C19" s="9" t="inlineStr"/>
    </row>
    <row r="21">
      <c r="A21" s="7" t="inlineStr">
        <is>
          <t>Menu aktif</t>
        </is>
      </c>
      <c r="B21" s="16">
        <f>COUNTIF(Menu!E2:E1000,1)</f>
        <v/>
      </c>
      <c r="C21" s="9" t="inlineStr">
        <is>
          <t>kolom aktif = 1</t>
        </is>
      </c>
    </row>
    <row r="22">
      <c r="A22" s="10" t="inlineStr">
        <is>
          <t>Voucher aktif</t>
        </is>
      </c>
      <c r="B22" s="11">
        <f>COUNTIF(Voucher!D2:D1000,1)</f>
        <v/>
      </c>
      <c r="C22" s="12" t="inlineStr"/>
    </row>
    <row r="23">
      <c r="A23" s="7" t="inlineStr">
        <is>
          <t>Karyawan hadir hari ini</t>
        </is>
      </c>
      <c r="B23" s="16">
        <f>COUNTIF(Absensi!A2:A1000,TEXT($B$2,"yyyy-mm-dd"))</f>
        <v/>
      </c>
      <c r="C23" s="9" t="inlineStr">
        <is>
          <t>dari tab Absensi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8" customWidth="1" min="5" max="5"/>
    <col width="8" customWidth="1" min="6" max="6"/>
  </cols>
  <sheetData>
    <row r="1">
      <c r="A1" s="6" t="inlineStr">
        <is>
          <t>nama</t>
        </is>
      </c>
      <c r="B1" s="6" t="inlineStr">
        <is>
          <t>kategori</t>
        </is>
      </c>
      <c r="C1" s="6" t="inlineStr">
        <is>
          <t>harga</t>
        </is>
      </c>
      <c r="D1" s="6" t="inlineStr">
        <is>
          <t>modal</t>
        </is>
      </c>
      <c r="E1" s="6" t="inlineStr">
        <is>
          <t>aktif</t>
        </is>
      </c>
      <c r="F1" s="6" t="inlineStr">
        <is>
          <t>urutan</t>
        </is>
      </c>
    </row>
    <row r="2">
      <c r="A2" s="13" t="inlineStr">
        <is>
          <t>Americano</t>
        </is>
      </c>
      <c r="B2" s="13" t="inlineStr">
        <is>
          <t>KOPI</t>
        </is>
      </c>
      <c r="C2" s="17" t="n">
        <v>13000</v>
      </c>
      <c r="D2" s="17" t="n">
        <v>5000</v>
      </c>
      <c r="E2" s="13" t="n">
        <v>1</v>
      </c>
      <c r="F2" s="13" t="n">
        <v>2</v>
      </c>
    </row>
    <row r="3">
      <c r="A3" s="13" t="inlineStr">
        <is>
          <t>Kopi Susu Senyawa</t>
        </is>
      </c>
      <c r="B3" s="13" t="inlineStr">
        <is>
          <t>KOPI</t>
        </is>
      </c>
      <c r="C3" s="17" t="n">
        <v>13000</v>
      </c>
      <c r="D3" s="17" t="n">
        <v>7000</v>
      </c>
      <c r="E3" s="13" t="n">
        <v>1</v>
      </c>
      <c r="F3" s="13" t="n">
        <v>2</v>
      </c>
    </row>
    <row r="4">
      <c r="A4" s="13" t="inlineStr">
        <is>
          <t>Kopi Susu Gula Aren</t>
        </is>
      </c>
      <c r="B4" s="13" t="inlineStr">
        <is>
          <t>KOPI</t>
        </is>
      </c>
      <c r="C4" s="17" t="n">
        <v>15000</v>
      </c>
      <c r="D4" s="17" t="n">
        <v>10000</v>
      </c>
      <c r="E4" s="13" t="n">
        <v>1</v>
      </c>
      <c r="F4" s="13" t="n">
        <v>3</v>
      </c>
    </row>
    <row r="5">
      <c r="A5" s="13" t="inlineStr">
        <is>
          <t>Kopi Susu Oat</t>
        </is>
      </c>
      <c r="B5" s="13" t="inlineStr">
        <is>
          <t>KOPI</t>
        </is>
      </c>
      <c r="C5" s="17" t="n">
        <v>15000</v>
      </c>
      <c r="D5" s="17" t="n">
        <v>10000</v>
      </c>
      <c r="E5" s="13" t="n">
        <v>1</v>
      </c>
      <c r="F5" s="13" t="n">
        <v>4</v>
      </c>
    </row>
    <row r="6">
      <c r="A6" s="13" t="inlineStr">
        <is>
          <t>Kopi Susu Butterscotch</t>
        </is>
      </c>
      <c r="B6" s="13" t="inlineStr">
        <is>
          <t>KOPI</t>
        </is>
      </c>
      <c r="C6" s="17" t="n">
        <v>15000</v>
      </c>
      <c r="D6" s="17" t="n">
        <v>10000</v>
      </c>
      <c r="E6" s="13" t="n">
        <v>1</v>
      </c>
      <c r="F6" s="13" t="n">
        <v>5</v>
      </c>
    </row>
    <row r="7">
      <c r="A7" s="13" t="inlineStr">
        <is>
          <t>Kopi Susu Hazelnut</t>
        </is>
      </c>
      <c r="B7" s="13" t="inlineStr">
        <is>
          <t>KOPI</t>
        </is>
      </c>
      <c r="C7" s="17" t="n">
        <v>15000</v>
      </c>
      <c r="D7" s="17" t="n">
        <v>10000</v>
      </c>
      <c r="E7" s="13" t="n">
        <v>1</v>
      </c>
      <c r="F7" s="13" t="n">
        <v>6</v>
      </c>
    </row>
    <row r="8">
      <c r="A8" s="13" t="inlineStr">
        <is>
          <t>Kopi Susu Regal</t>
        </is>
      </c>
      <c r="B8" s="13" t="inlineStr">
        <is>
          <t>KOPI</t>
        </is>
      </c>
      <c r="C8" s="17" t="n">
        <v>15000</v>
      </c>
      <c r="D8" s="17" t="n">
        <v>10000</v>
      </c>
      <c r="E8" s="13" t="n">
        <v>1</v>
      </c>
      <c r="F8" s="13" t="n">
        <v>7</v>
      </c>
    </row>
    <row r="9">
      <c r="A9" s="13" t="inlineStr">
        <is>
          <t>Matcha</t>
        </is>
      </c>
      <c r="B9" s="13" t="inlineStr">
        <is>
          <t>KOPI</t>
        </is>
      </c>
      <c r="C9" s="17" t="n">
        <v>15000</v>
      </c>
      <c r="D9" s="17" t="n">
        <v>10000</v>
      </c>
      <c r="E9" s="13" t="n">
        <v>1</v>
      </c>
      <c r="F9" s="13" t="n">
        <v>8</v>
      </c>
    </row>
    <row r="10">
      <c r="A10" s="13" t="inlineStr">
        <is>
          <t>Classic Chocolate</t>
        </is>
      </c>
      <c r="B10" s="13" t="inlineStr">
        <is>
          <t>KOPI</t>
        </is>
      </c>
      <c r="C10" s="17" t="n">
        <v>15000</v>
      </c>
      <c r="D10" s="17" t="n">
        <v>10000</v>
      </c>
      <c r="E10" s="13" t="n">
        <v>1</v>
      </c>
      <c r="F10" s="13" t="n">
        <v>9</v>
      </c>
    </row>
    <row r="11">
      <c r="A11" s="13" t="inlineStr">
        <is>
          <t>Lemon Mint Tea</t>
        </is>
      </c>
      <c r="B11" s="13" t="inlineStr">
        <is>
          <t>KOPI</t>
        </is>
      </c>
      <c r="C11" s="17" t="n">
        <v>15000</v>
      </c>
      <c r="D11" s="17" t="n">
        <v>10000</v>
      </c>
      <c r="E11" s="13" t="n">
        <v>1</v>
      </c>
      <c r="F11" s="13" t="n">
        <v>10</v>
      </c>
    </row>
    <row r="12">
      <c r="A12" s="13" t="inlineStr">
        <is>
          <t>Indomie Goreng</t>
        </is>
      </c>
      <c r="B12" s="13" t="inlineStr">
        <is>
          <t>MAKANAN</t>
        </is>
      </c>
      <c r="C12" s="17" t="n">
        <v>12000</v>
      </c>
      <c r="D12" s="17" t="n">
        <v>10000</v>
      </c>
      <c r="E12" s="13" t="n">
        <v>1</v>
      </c>
      <c r="F12" s="13" t="n">
        <v>11</v>
      </c>
    </row>
    <row r="13">
      <c r="A13" s="13" t="inlineStr">
        <is>
          <t>Indomie Goreng Telur</t>
        </is>
      </c>
      <c r="B13" s="13" t="inlineStr">
        <is>
          <t>MAKANAN</t>
        </is>
      </c>
      <c r="C13" s="17" t="n">
        <v>15000</v>
      </c>
      <c r="D13" s="17" t="n">
        <v>10000</v>
      </c>
      <c r="E13" s="13" t="n">
        <v>1</v>
      </c>
      <c r="F13" s="13" t="n">
        <v>12</v>
      </c>
    </row>
    <row r="14">
      <c r="A14" s="13" t="inlineStr">
        <is>
          <t>Indomie Goreng Nuget</t>
        </is>
      </c>
      <c r="B14" s="13" t="inlineStr">
        <is>
          <t>MAKANAN</t>
        </is>
      </c>
      <c r="C14" s="17" t="n">
        <v>15000</v>
      </c>
      <c r="D14" s="17" t="n">
        <v>10000</v>
      </c>
      <c r="E14" s="13" t="n">
        <v>1</v>
      </c>
      <c r="F14" s="1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0" customWidth="1" min="4" max="4"/>
    <col width="20" customWidth="1" min="5" max="5"/>
    <col width="18" customWidth="1" min="6" max="6"/>
  </cols>
  <sheetData>
    <row r="1">
      <c r="A1" s="6" t="inlineStr">
        <is>
          <t>nama</t>
        </is>
      </c>
      <c r="B1" s="6" t="inlineStr">
        <is>
          <t>satuan</t>
        </is>
      </c>
      <c r="C1" s="6" t="inlineStr">
        <is>
          <t>stok_utama</t>
        </is>
      </c>
      <c r="D1" s="6" t="inlineStr">
        <is>
          <t>stok_min</t>
        </is>
      </c>
      <c r="E1" s="6" t="inlineStr">
        <is>
          <t>total_penambahan_stok</t>
        </is>
      </c>
      <c r="F1" s="6" t="inlineStr">
        <is>
          <t>total_stok_tersedia</t>
        </is>
      </c>
    </row>
    <row r="2">
      <c r="A2" s="13" t="inlineStr">
        <is>
          <t>Cup Panas 8oz</t>
        </is>
      </c>
      <c r="B2" s="13" t="inlineStr">
        <is>
          <t>pcs</t>
        </is>
      </c>
      <c r="C2" s="13" t="n">
        <v>297</v>
      </c>
      <c r="D2" s="13" t="n">
        <v>50</v>
      </c>
      <c r="E2" s="13">
        <f>SUMIF(Restok_Log!B:B,A2,Restok_Log!C:C)</f>
        <v/>
      </c>
      <c r="F2" s="13">
        <f>C2+E2</f>
        <v/>
      </c>
    </row>
    <row r="3">
      <c r="A3" s="13" t="inlineStr">
        <is>
          <t>Cup Plastik 16oz</t>
        </is>
      </c>
      <c r="B3" s="13" t="inlineStr">
        <is>
          <t>pcs</t>
        </is>
      </c>
      <c r="C3" s="13" t="n">
        <v>482</v>
      </c>
      <c r="D3" s="13" t="n">
        <v>50</v>
      </c>
      <c r="E3" s="13">
        <f>SUMIF(Restok_Log!B:B,A3,Restok_Log!C:C)</f>
        <v/>
      </c>
      <c r="F3" s="13">
        <f>C3+E3</f>
        <v/>
      </c>
    </row>
    <row r="4">
      <c r="A4" s="13" t="inlineStr">
        <is>
          <t>Mie (porsi)</t>
        </is>
      </c>
      <c r="B4" s="13" t="inlineStr">
        <is>
          <t>porsi</t>
        </is>
      </c>
      <c r="C4" s="13" t="n">
        <v>97</v>
      </c>
      <c r="D4" s="13" t="n">
        <v>20</v>
      </c>
      <c r="E4" s="13">
        <f>SUMIF(Restok_Log!B:B,A4,Restok_Log!C:C)</f>
        <v/>
      </c>
      <c r="F4" s="13">
        <f>C4+E4</f>
        <v/>
      </c>
    </row>
    <row r="5">
      <c r="A5" s="13" t="inlineStr">
        <is>
          <t>Wadah Makan</t>
        </is>
      </c>
      <c r="B5" s="13" t="inlineStr">
        <is>
          <t>pcs</t>
        </is>
      </c>
      <c r="C5" s="13" t="n">
        <v>196</v>
      </c>
      <c r="D5" s="13" t="n">
        <v>30</v>
      </c>
      <c r="E5" s="13">
        <f>SUMIF(Restok_Log!B:B,A5,Restok_Log!C:C)</f>
        <v/>
      </c>
      <c r="F5" s="13">
        <f>C5+E5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0" customWidth="1" min="4" max="4"/>
    <col width="12" customWidth="1" min="5" max="5"/>
  </cols>
  <sheetData>
    <row r="1">
      <c r="A1" s="6" t="inlineStr">
        <is>
          <t>waktu</t>
        </is>
      </c>
      <c r="B1" s="6" t="inlineStr">
        <is>
          <t>nama_bahan</t>
        </is>
      </c>
      <c r="C1" s="6" t="inlineStr">
        <is>
          <t>jumlah_tambah</t>
        </is>
      </c>
      <c r="D1" s="6" t="inlineStr">
        <is>
          <t>satuan</t>
        </is>
      </c>
      <c r="E1" s="6" t="inlineStr">
        <is>
          <t>stok_akhir</t>
        </is>
      </c>
    </row>
    <row r="2">
      <c r="A2" s="13" t="inlineStr">
        <is>
          <t>2026-07-28T09:10:00</t>
        </is>
      </c>
      <c r="B2" s="13" t="inlineStr">
        <is>
          <t>Cup Panas 8oz</t>
        </is>
      </c>
      <c r="C2" s="13" t="n">
        <v>100</v>
      </c>
      <c r="D2" s="13" t="inlineStr">
        <is>
          <t>pcs</t>
        </is>
      </c>
      <c r="E2" s="13" t="n">
        <v>297</v>
      </c>
    </row>
    <row r="3">
      <c r="A3" s="13" t="inlineStr">
        <is>
          <t>2026-07-29T08:40:00</t>
        </is>
      </c>
      <c r="B3" s="13" t="inlineStr">
        <is>
          <t>Mie (porsi)</t>
        </is>
      </c>
      <c r="C3" s="13" t="n">
        <v>50</v>
      </c>
      <c r="D3" s="13" t="inlineStr">
        <is>
          <t>porsi</t>
        </is>
      </c>
      <c r="E3" s="13" t="n">
        <v>97</v>
      </c>
    </row>
    <row r="4">
      <c r="A4" s="13" t="inlineStr">
        <is>
          <t>2026-07-30T10:05:00</t>
        </is>
      </c>
      <c r="B4" s="13" t="inlineStr">
        <is>
          <t>Cup Plastik 16oz</t>
        </is>
      </c>
      <c r="C4" s="13" t="n">
        <v>200</v>
      </c>
      <c r="D4" s="13" t="inlineStr">
        <is>
          <t>pcs</t>
        </is>
      </c>
      <c r="E4" s="13" t="n">
        <v>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8" customWidth="1" min="5" max="5"/>
    <col width="10" customWidth="1" min="6" max="6"/>
    <col width="13" customWidth="1" min="7" max="7"/>
    <col width="14" customWidth="1" min="8" max="8"/>
  </cols>
  <sheetData>
    <row r="1">
      <c r="A1" s="6" t="inlineStr">
        <is>
          <t>nama</t>
        </is>
      </c>
      <c r="B1" s="6" t="inlineStr">
        <is>
          <t>tipe</t>
        </is>
      </c>
      <c r="C1" s="6" t="inlineStr">
        <is>
          <t>nilai</t>
        </is>
      </c>
      <c r="D1" s="6" t="inlineStr">
        <is>
          <t>aktif</t>
        </is>
      </c>
      <c r="E1" s="6" t="inlineStr">
        <is>
          <t>kuota</t>
        </is>
      </c>
      <c r="F1" s="6" t="inlineStr">
        <is>
          <t>terpakai</t>
        </is>
      </c>
      <c r="G1" s="6" t="inlineStr">
        <is>
          <t>berlaku_dari</t>
        </is>
      </c>
      <c r="H1" s="6" t="inlineStr">
        <is>
          <t>berlaku_sampai</t>
        </is>
      </c>
    </row>
    <row r="2">
      <c r="A2" s="13" t="inlineStr">
        <is>
          <t>Diskon 10%</t>
        </is>
      </c>
      <c r="B2" s="13" t="inlineStr">
        <is>
          <t>PERCENT</t>
        </is>
      </c>
      <c r="C2" s="13" t="n">
        <v>10</v>
      </c>
      <c r="D2" s="13" t="n">
        <v>1</v>
      </c>
      <c r="E2" s="13" t="inlineStr"/>
      <c r="F2" s="13" t="n">
        <v>0</v>
      </c>
      <c r="G2" s="13" t="inlineStr"/>
      <c r="H2" s="13" t="inlineStr"/>
    </row>
    <row r="3">
      <c r="A3" s="13" t="inlineStr">
        <is>
          <t>Owner Gratis</t>
        </is>
      </c>
      <c r="B3" s="13" t="inlineStr">
        <is>
          <t>PERCENT</t>
        </is>
      </c>
      <c r="C3" s="13" t="n">
        <v>100</v>
      </c>
      <c r="D3" s="13" t="n">
        <v>1</v>
      </c>
      <c r="E3" s="13" t="inlineStr"/>
      <c r="F3" s="13" t="n">
        <v>1</v>
      </c>
      <c r="G3" s="13" t="inlineStr"/>
      <c r="H3" s="13" t="inlineStr"/>
    </row>
    <row r="4">
      <c r="A4" s="13" t="inlineStr">
        <is>
          <t>Potongan 5rb</t>
        </is>
      </c>
      <c r="B4" s="13" t="inlineStr">
        <is>
          <t>NOMINAL</t>
        </is>
      </c>
      <c r="C4" s="13" t="n">
        <v>5000</v>
      </c>
      <c r="D4" s="13" t="n">
        <v>1</v>
      </c>
      <c r="E4" s="13" t="inlineStr"/>
      <c r="F4" s="13" t="n">
        <v>0</v>
      </c>
      <c r="G4" s="13" t="inlineStr"/>
      <c r="H4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8" customWidth="1" min="4" max="4"/>
    <col width="11" customWidth="1" min="5" max="5"/>
    <col width="10" customWidth="1" min="6" max="6"/>
    <col width="10" customWidth="1" min="7" max="7"/>
    <col width="9" customWidth="1" min="8" max="8"/>
    <col width="13" customWidth="1" min="9" max="9"/>
    <col width="10" customWidth="1" min="10" max="10"/>
    <col width="9" customWidth="1" min="11" max="11"/>
  </cols>
  <sheetData>
    <row r="1">
      <c r="A1" s="6" t="inlineStr">
        <is>
          <t>kode</t>
        </is>
      </c>
      <c r="B1" s="6" t="inlineStr">
        <is>
          <t>hari_usaha</t>
        </is>
      </c>
      <c r="C1" s="6" t="inlineStr">
        <is>
          <t>waktu</t>
        </is>
      </c>
      <c r="D1" s="6" t="inlineStr">
        <is>
          <t>kasir</t>
        </is>
      </c>
      <c r="E1" s="6" t="inlineStr">
        <is>
          <t>tipe</t>
        </is>
      </c>
      <c r="F1" s="6" t="inlineStr">
        <is>
          <t>metode</t>
        </is>
      </c>
      <c r="G1" s="6" t="inlineStr">
        <is>
          <t>subtotal</t>
        </is>
      </c>
      <c r="H1" s="6" t="inlineStr">
        <is>
          <t>diskon</t>
        </is>
      </c>
      <c r="I1" s="6" t="inlineStr">
        <is>
          <t>voucher</t>
        </is>
      </c>
      <c r="J1" s="6" t="inlineStr">
        <is>
          <t>total</t>
        </is>
      </c>
      <c r="K1" s="6" t="inlineStr">
        <is>
          <t>status</t>
        </is>
      </c>
    </row>
    <row r="2">
      <c r="A2" s="13" t="inlineStr">
        <is>
          <t>TRX-20260728-001</t>
        </is>
      </c>
      <c r="B2" s="13" t="inlineStr">
        <is>
          <t>2026-07-28</t>
        </is>
      </c>
      <c r="C2" s="13" t="inlineStr">
        <is>
          <t>2026-07-28T19:20:00</t>
        </is>
      </c>
      <c r="D2" s="13" t="inlineStr">
        <is>
          <t>Andi</t>
        </is>
      </c>
      <c r="E2" s="13" t="inlineStr">
        <is>
          <t>DINE_IN</t>
        </is>
      </c>
      <c r="F2" s="13" t="inlineStr">
        <is>
          <t>CASH</t>
        </is>
      </c>
      <c r="G2" s="17" t="n">
        <v>13000</v>
      </c>
      <c r="H2" s="17" t="n">
        <v>0</v>
      </c>
      <c r="I2" s="13" t="inlineStr"/>
      <c r="J2" s="17" t="n">
        <v>13000</v>
      </c>
      <c r="K2" s="13" t="inlineStr">
        <is>
          <t>ACTIVE</t>
        </is>
      </c>
    </row>
    <row r="3">
      <c r="A3" s="13" t="inlineStr">
        <is>
          <t>TRX-20260729-001</t>
        </is>
      </c>
      <c r="B3" s="13" t="inlineStr">
        <is>
          <t>2026-07-29</t>
        </is>
      </c>
      <c r="C3" s="13" t="inlineStr">
        <is>
          <t>2026-07-29T20:05:00</t>
        </is>
      </c>
      <c r="D3" s="13" t="inlineStr">
        <is>
          <t>Budi</t>
        </is>
      </c>
      <c r="E3" s="13" t="inlineStr">
        <is>
          <t>TAKEAWAY</t>
        </is>
      </c>
      <c r="F3" s="13" t="inlineStr">
        <is>
          <t>QRIS</t>
        </is>
      </c>
      <c r="G3" s="17" t="n">
        <v>15000</v>
      </c>
      <c r="H3" s="17" t="n">
        <v>0</v>
      </c>
      <c r="I3" s="13" t="inlineStr"/>
      <c r="J3" s="17" t="n">
        <v>15000</v>
      </c>
      <c r="K3" s="13" t="inlineStr">
        <is>
          <t>ACTIVE</t>
        </is>
      </c>
    </row>
    <row r="4">
      <c r="A4" s="13" t="inlineStr">
        <is>
          <t>TRX-20260729-002</t>
        </is>
      </c>
      <c r="B4" s="13" t="inlineStr">
        <is>
          <t>2026-07-29</t>
        </is>
      </c>
      <c r="C4" s="13" t="inlineStr">
        <is>
          <t>2026-07-29T21:15:00</t>
        </is>
      </c>
      <c r="D4" s="13" t="inlineStr">
        <is>
          <t>Budi</t>
        </is>
      </c>
      <c r="E4" s="13" t="inlineStr">
        <is>
          <t>DINE_IN</t>
        </is>
      </c>
      <c r="F4" s="13" t="inlineStr">
        <is>
          <t>CASH</t>
        </is>
      </c>
      <c r="G4" s="17" t="n">
        <v>30000</v>
      </c>
      <c r="H4" s="17" t="n">
        <v>0</v>
      </c>
      <c r="I4" s="13" t="inlineStr"/>
      <c r="J4" s="17" t="n">
        <v>30000</v>
      </c>
      <c r="K4" s="13" t="inlineStr">
        <is>
          <t>ACTIVE</t>
        </is>
      </c>
    </row>
    <row r="5">
      <c r="A5" s="13" t="inlineStr">
        <is>
          <t>TRX-20260730-001</t>
        </is>
      </c>
      <c r="B5" s="13" t="inlineStr">
        <is>
          <t>2026-07-30</t>
        </is>
      </c>
      <c r="C5" s="13" t="inlineStr">
        <is>
          <t>2026-07-30T18:40:00</t>
        </is>
      </c>
      <c r="D5" s="13" t="inlineStr">
        <is>
          <t>Citra</t>
        </is>
      </c>
      <c r="E5" s="13" t="inlineStr">
        <is>
          <t>DINE_IN</t>
        </is>
      </c>
      <c r="F5" s="13" t="inlineStr">
        <is>
          <t>CASH</t>
        </is>
      </c>
      <c r="G5" s="17" t="n">
        <v>15000</v>
      </c>
      <c r="H5" s="17" t="n">
        <v>0</v>
      </c>
      <c r="I5" s="13" t="inlineStr"/>
      <c r="J5" s="17" t="n">
        <v>15000</v>
      </c>
      <c r="K5" s="13" t="inlineStr">
        <is>
          <t>ACTIVE</t>
        </is>
      </c>
    </row>
    <row r="6">
      <c r="A6" s="13" t="inlineStr">
        <is>
          <t>TRX-20260730-002</t>
        </is>
      </c>
      <c r="B6" s="13" t="inlineStr">
        <is>
          <t>2026-07-30</t>
        </is>
      </c>
      <c r="C6" s="13" t="inlineStr">
        <is>
          <t>2026-07-30T19:55:00</t>
        </is>
      </c>
      <c r="D6" s="13" t="inlineStr">
        <is>
          <t>Citra</t>
        </is>
      </c>
      <c r="E6" s="13" t="inlineStr">
        <is>
          <t>TAKEAWAY</t>
        </is>
      </c>
      <c r="F6" s="13" t="inlineStr">
        <is>
          <t>QRIS</t>
        </is>
      </c>
      <c r="G6" s="17" t="n">
        <v>13000</v>
      </c>
      <c r="H6" s="17" t="n">
        <v>1300</v>
      </c>
      <c r="I6" s="13" t="inlineStr">
        <is>
          <t>Diskon 10%</t>
        </is>
      </c>
      <c r="J6" s="17" t="n">
        <v>11700</v>
      </c>
      <c r="K6" s="13" t="inlineStr">
        <is>
          <t>ACTIVE</t>
        </is>
      </c>
    </row>
    <row r="7">
      <c r="A7" s="13" t="inlineStr">
        <is>
          <t>TRX-20260731-001</t>
        </is>
      </c>
      <c r="B7" s="13" t="inlineStr">
        <is>
          <t>2026-07-31</t>
        </is>
      </c>
      <c r="C7" s="13" t="inlineStr">
        <is>
          <t>2026-07-31T17:05:00</t>
        </is>
      </c>
      <c r="D7" s="13" t="inlineStr">
        <is>
          <t>Andi</t>
        </is>
      </c>
      <c r="E7" s="13" t="inlineStr">
        <is>
          <t>DINE_IN</t>
        </is>
      </c>
      <c r="F7" s="13" t="inlineStr">
        <is>
          <t>CASH</t>
        </is>
      </c>
      <c r="G7" s="17" t="n">
        <v>13000</v>
      </c>
      <c r="H7" s="17" t="n">
        <v>0</v>
      </c>
      <c r="I7" s="13" t="inlineStr"/>
      <c r="J7" s="17" t="n">
        <v>13000</v>
      </c>
      <c r="K7" s="13" t="inlineStr">
        <is>
          <t>ACTIVE</t>
        </is>
      </c>
    </row>
    <row r="8">
      <c r="A8" s="13" t="inlineStr">
        <is>
          <t>TRX-20260731-002</t>
        </is>
      </c>
      <c r="B8" s="13" t="inlineStr">
        <is>
          <t>2026-07-31</t>
        </is>
      </c>
      <c r="C8" s="13" t="inlineStr">
        <is>
          <t>2026-07-31T17:30:00</t>
        </is>
      </c>
      <c r="D8" s="13" t="inlineStr">
        <is>
          <t>Andi</t>
        </is>
      </c>
      <c r="E8" s="13" t="inlineStr">
        <is>
          <t>TAKEAWAY</t>
        </is>
      </c>
      <c r="F8" s="13" t="inlineStr">
        <is>
          <t>QRIS</t>
        </is>
      </c>
      <c r="G8" s="17" t="n">
        <v>15000</v>
      </c>
      <c r="H8" s="17" t="n">
        <v>0</v>
      </c>
      <c r="I8" s="13" t="inlineStr"/>
      <c r="J8" s="17" t="n">
        <v>15000</v>
      </c>
      <c r="K8" s="13" t="inlineStr">
        <is>
          <t>ACTIVE</t>
        </is>
      </c>
    </row>
    <row r="9">
      <c r="A9" s="13" t="inlineStr">
        <is>
          <t>TRX-20260731-003</t>
        </is>
      </c>
      <c r="B9" s="13" t="inlineStr">
        <is>
          <t>2026-07-31</t>
        </is>
      </c>
      <c r="C9" s="13" t="inlineStr">
        <is>
          <t>2026-07-31T18:00:00</t>
        </is>
      </c>
      <c r="D9" s="13" t="inlineStr">
        <is>
          <t>Budi</t>
        </is>
      </c>
      <c r="E9" s="13" t="inlineStr">
        <is>
          <t>DINE_IN</t>
        </is>
      </c>
      <c r="F9" s="13" t="inlineStr">
        <is>
          <t>CASH</t>
        </is>
      </c>
      <c r="G9" s="17" t="n">
        <v>15000</v>
      </c>
      <c r="H9" s="17" t="n">
        <v>0</v>
      </c>
      <c r="I9" s="13" t="inlineStr"/>
      <c r="J9" s="17" t="n">
        <v>15000</v>
      </c>
      <c r="K9" s="13" t="inlineStr">
        <is>
          <t>ACTIVE</t>
        </is>
      </c>
    </row>
    <row r="10">
      <c r="A10" s="13" t="inlineStr">
        <is>
          <t>TRX-20260731-004</t>
        </is>
      </c>
      <c r="B10" s="13" t="inlineStr">
        <is>
          <t>2026-07-31</t>
        </is>
      </c>
      <c r="C10" s="13" t="inlineStr">
        <is>
          <t>2026-07-31T18:20:00</t>
        </is>
      </c>
      <c r="D10" s="13" t="inlineStr">
        <is>
          <t>Budi</t>
        </is>
      </c>
      <c r="E10" s="13" t="inlineStr">
        <is>
          <t>DINE_IN</t>
        </is>
      </c>
      <c r="F10" s="13" t="inlineStr">
        <is>
          <t>CASH</t>
        </is>
      </c>
      <c r="G10" s="17" t="n">
        <v>15000</v>
      </c>
      <c r="H10" s="17" t="n">
        <v>0</v>
      </c>
      <c r="I10" s="13" t="inlineStr"/>
      <c r="J10" s="17" t="n">
        <v>15000</v>
      </c>
      <c r="K10" s="13" t="inlineStr">
        <is>
          <t>ACTIVE</t>
        </is>
      </c>
    </row>
    <row r="11">
      <c r="A11" s="13" t="inlineStr">
        <is>
          <t>TRX-20260731-005</t>
        </is>
      </c>
      <c r="B11" s="13" t="inlineStr">
        <is>
          <t>2026-07-31</t>
        </is>
      </c>
      <c r="C11" s="13" t="inlineStr">
        <is>
          <t>2026-07-31T18:45:00</t>
        </is>
      </c>
      <c r="D11" s="13" t="inlineStr">
        <is>
          <t>Andi</t>
        </is>
      </c>
      <c r="E11" s="13" t="inlineStr">
        <is>
          <t>TAKEAWAY</t>
        </is>
      </c>
      <c r="F11" s="13" t="inlineStr">
        <is>
          <t>QRIS</t>
        </is>
      </c>
      <c r="G11" s="17" t="n">
        <v>13000</v>
      </c>
      <c r="H11" s="17" t="n">
        <v>1300</v>
      </c>
      <c r="I11" s="13" t="inlineStr">
        <is>
          <t>Diskon 10%</t>
        </is>
      </c>
      <c r="J11" s="17" t="n">
        <v>11700</v>
      </c>
      <c r="K11" s="13" t="inlineStr">
        <is>
          <t>ACTIVE</t>
        </is>
      </c>
    </row>
    <row r="12">
      <c r="A12" s="13" t="inlineStr">
        <is>
          <t>TRX-20260731-006</t>
        </is>
      </c>
      <c r="B12" s="13" t="inlineStr">
        <is>
          <t>2026-07-31</t>
        </is>
      </c>
      <c r="C12" s="13" t="inlineStr">
        <is>
          <t>2026-07-31T19:10:00</t>
        </is>
      </c>
      <c r="D12" s="13" t="inlineStr">
        <is>
          <t>Citra</t>
        </is>
      </c>
      <c r="E12" s="13" t="inlineStr">
        <is>
          <t>DINE_IN</t>
        </is>
      </c>
      <c r="F12" s="13" t="inlineStr">
        <is>
          <t>TRANSFER</t>
        </is>
      </c>
      <c r="G12" s="17" t="n">
        <v>15000</v>
      </c>
      <c r="H12" s="17" t="n">
        <v>0</v>
      </c>
      <c r="I12" s="13" t="inlineStr"/>
      <c r="J12" s="17" t="n">
        <v>15000</v>
      </c>
      <c r="K12" s="13" t="inlineStr">
        <is>
          <t>ACTIVE</t>
        </is>
      </c>
    </row>
    <row r="13">
      <c r="A13" s="13" t="inlineStr">
        <is>
          <t>TRX-20260731-007</t>
        </is>
      </c>
      <c r="B13" s="13" t="inlineStr">
        <is>
          <t>2026-07-31</t>
        </is>
      </c>
      <c r="C13" s="13" t="inlineStr">
        <is>
          <t>2026-07-31T19:35:00</t>
        </is>
      </c>
      <c r="D13" s="13" t="inlineStr">
        <is>
          <t>Citra</t>
        </is>
      </c>
      <c r="E13" s="13" t="inlineStr">
        <is>
          <t>DINE_IN</t>
        </is>
      </c>
      <c r="F13" s="13" t="inlineStr">
        <is>
          <t>CASH</t>
        </is>
      </c>
      <c r="G13" s="17" t="n">
        <v>15000</v>
      </c>
      <c r="H13" s="17" t="n">
        <v>0</v>
      </c>
      <c r="I13" s="13" t="inlineStr"/>
      <c r="J13" s="17" t="n">
        <v>15000</v>
      </c>
      <c r="K13" s="13" t="inlineStr">
        <is>
          <t>ACTIVE</t>
        </is>
      </c>
    </row>
    <row r="14">
      <c r="A14" s="13" t="inlineStr">
        <is>
          <t>TRX-20260731-008</t>
        </is>
      </c>
      <c r="B14" s="13" t="inlineStr">
        <is>
          <t>2026-07-31</t>
        </is>
      </c>
      <c r="C14" s="13" t="inlineStr">
        <is>
          <t>2026-07-31T20:00:00</t>
        </is>
      </c>
      <c r="D14" s="13" t="inlineStr">
        <is>
          <t>Andi</t>
        </is>
      </c>
      <c r="E14" s="13" t="inlineStr">
        <is>
          <t>DINE_IN</t>
        </is>
      </c>
      <c r="F14" s="13" t="inlineStr">
        <is>
          <t>CASH</t>
        </is>
      </c>
      <c r="G14" s="17" t="n">
        <v>15000</v>
      </c>
      <c r="H14" s="17" t="n">
        <v>15000</v>
      </c>
      <c r="I14" s="13" t="inlineStr">
        <is>
          <t>Owner Gratis</t>
        </is>
      </c>
      <c r="J14" s="17" t="n">
        <v>0</v>
      </c>
      <c r="K14" s="13" t="inlineStr">
        <is>
          <t>ACTIVE</t>
        </is>
      </c>
    </row>
    <row r="15">
      <c r="A15" s="13" t="inlineStr">
        <is>
          <t>TRX-20260731-009</t>
        </is>
      </c>
      <c r="B15" s="13" t="inlineStr">
        <is>
          <t>2026-07-31</t>
        </is>
      </c>
      <c r="C15" s="13" t="inlineStr">
        <is>
          <t>2026-07-31T20:30:00</t>
        </is>
      </c>
      <c r="D15" s="13" t="inlineStr">
        <is>
          <t>Budi</t>
        </is>
      </c>
      <c r="E15" s="13" t="inlineStr">
        <is>
          <t>DINE_IN</t>
        </is>
      </c>
      <c r="F15" s="13" t="inlineStr">
        <is>
          <t>CASH</t>
        </is>
      </c>
      <c r="G15" s="17" t="n">
        <v>15000</v>
      </c>
      <c r="H15" s="17" t="n">
        <v>0</v>
      </c>
      <c r="I15" s="13" t="inlineStr"/>
      <c r="J15" s="17" t="n">
        <v>15000</v>
      </c>
      <c r="K15" s="13" t="inlineStr">
        <is>
          <t>VOID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</cols>
  <sheetData>
    <row r="1">
      <c r="A1" s="6" t="inlineStr">
        <is>
          <t>hari_usaha</t>
        </is>
      </c>
      <c r="B1" s="6" t="inlineStr">
        <is>
          <t>karyawan</t>
        </is>
      </c>
      <c r="C1" s="6" t="inlineStr">
        <is>
          <t>shift</t>
        </is>
      </c>
      <c r="D1" s="6" t="inlineStr">
        <is>
          <t>waktu</t>
        </is>
      </c>
    </row>
    <row r="2">
      <c r="A2" s="13" t="inlineStr">
        <is>
          <t>2026-07-30</t>
        </is>
      </c>
      <c r="B2" s="13" t="inlineStr">
        <is>
          <t>Andi</t>
        </is>
      </c>
      <c r="C2" s="13" t="inlineStr">
        <is>
          <t>Sore</t>
        </is>
      </c>
      <c r="D2" s="13" t="inlineStr">
        <is>
          <t>2026-07-30T16:02:00</t>
        </is>
      </c>
    </row>
    <row r="3">
      <c r="A3" s="13" t="inlineStr">
        <is>
          <t>2026-07-30</t>
        </is>
      </c>
      <c r="B3" s="13" t="inlineStr">
        <is>
          <t>Budi</t>
        </is>
      </c>
      <c r="C3" s="13" t="inlineStr">
        <is>
          <t>Sore</t>
        </is>
      </c>
      <c r="D3" s="13" t="inlineStr">
        <is>
          <t>2026-07-30T16:10:00</t>
        </is>
      </c>
    </row>
    <row r="4">
      <c r="A4" s="13" t="inlineStr">
        <is>
          <t>2026-07-31</t>
        </is>
      </c>
      <c r="B4" s="13" t="inlineStr">
        <is>
          <t>Andi</t>
        </is>
      </c>
      <c r="C4" s="13" t="inlineStr">
        <is>
          <t>Pagi</t>
        </is>
      </c>
      <c r="D4" s="13" t="inlineStr">
        <is>
          <t>2026-07-31T07:05:00</t>
        </is>
      </c>
    </row>
    <row r="5">
      <c r="A5" s="13" t="inlineStr">
        <is>
          <t>2026-07-31</t>
        </is>
      </c>
      <c r="B5" s="13" t="inlineStr">
        <is>
          <t>Budi</t>
        </is>
      </c>
      <c r="C5" s="13" t="inlineStr">
        <is>
          <t>Sore</t>
        </is>
      </c>
      <c r="D5" s="13" t="inlineStr">
        <is>
          <t>2026-07-31T16:01:00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8" customWidth="1" min="5" max="5"/>
    <col width="8" customWidth="1" min="6" max="6"/>
    <col width="20" customWidth="1" min="7" max="7"/>
  </cols>
  <sheetData>
    <row r="1">
      <c r="A1" s="6" t="inlineStr">
        <is>
          <t>hari_usaha</t>
        </is>
      </c>
      <c r="B1" s="6" t="inlineStr">
        <is>
          <t>tipe</t>
        </is>
      </c>
      <c r="C1" s="6" t="inlineStr">
        <is>
          <t>nominal</t>
        </is>
      </c>
      <c r="D1" s="6" t="inlineStr">
        <is>
          <t>kategori</t>
        </is>
      </c>
      <c r="E1" s="6" t="inlineStr">
        <is>
          <t>catatan</t>
        </is>
      </c>
      <c r="F1" s="6" t="inlineStr">
        <is>
          <t>oleh</t>
        </is>
      </c>
      <c r="G1" s="6" t="inlineStr">
        <is>
          <t>waktu</t>
        </is>
      </c>
    </row>
    <row r="2">
      <c r="A2" s="13" t="inlineStr">
        <is>
          <t>2026-07-31</t>
        </is>
      </c>
      <c r="B2" s="13" t="inlineStr">
        <is>
          <t>MASUK</t>
        </is>
      </c>
      <c r="C2" s="17" t="n">
        <v>250000</v>
      </c>
      <c r="D2" s="13" t="inlineStr">
        <is>
          <t>Kas Awal</t>
        </is>
      </c>
      <c r="E2" s="13" t="inlineStr">
        <is>
          <t>Modal laci pagi</t>
        </is>
      </c>
      <c r="F2" s="13" t="inlineStr">
        <is>
          <t>Andi</t>
        </is>
      </c>
      <c r="G2" s="13" t="inlineStr">
        <is>
          <t>2026-07-31T07:00:00</t>
        </is>
      </c>
    </row>
    <row r="3">
      <c r="A3" s="13" t="inlineStr">
        <is>
          <t>2026-07-31</t>
        </is>
      </c>
      <c r="B3" s="13" t="inlineStr">
        <is>
          <t>KELUAR</t>
        </is>
      </c>
      <c r="C3" s="17" t="n">
        <v>20000</v>
      </c>
      <c r="D3" s="13" t="inlineStr">
        <is>
          <t>Bahan</t>
        </is>
      </c>
      <c r="E3" s="13" t="inlineStr">
        <is>
          <t>Beli es batu</t>
        </is>
      </c>
      <c r="F3" s="13" t="inlineStr">
        <is>
          <t>Andi</t>
        </is>
      </c>
      <c r="G3" s="13" t="inlineStr">
        <is>
          <t>2026-07-31T10:15:00</t>
        </is>
      </c>
    </row>
    <row r="4">
      <c r="A4" s="13" t="inlineStr">
        <is>
          <t>2026-07-31</t>
        </is>
      </c>
      <c r="B4" s="13" t="inlineStr">
        <is>
          <t>KELUAR</t>
        </is>
      </c>
      <c r="C4" s="17" t="n">
        <v>19000</v>
      </c>
      <c r="D4" s="13" t="inlineStr">
        <is>
          <t>Operasional</t>
        </is>
      </c>
      <c r="E4" s="13" t="inlineStr">
        <is>
          <t>Galon air</t>
        </is>
      </c>
      <c r="F4" s="13" t="inlineStr">
        <is>
          <t>Budi</t>
        </is>
      </c>
      <c r="G4" s="13" t="inlineStr">
        <is>
          <t>2026-07-31T14:30:00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2026-07-31T13:34:27Z</dcterms:created>
  <dcterms:modified xmlns:dcterms="http://purl.org/dc/terms/" xmlns:xsi="http://www.w3.org/2001/XMLSchema-instance" xsi:type="dcterms:W3CDTF">2026-07-31T13:34:27Z</dcterms:modified>
</cp:coreProperties>
</file>